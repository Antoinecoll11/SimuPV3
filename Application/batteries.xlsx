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chnicien_knx\Documents\Antoine_Collignon\Simulateur\Application\"/>
    </mc:Choice>
  </mc:AlternateContent>
  <xr:revisionPtr revIDLastSave="0" documentId="13_ncr:1_{4819C59C-7EDD-459C-A902-EFF28CFBD23C}" xr6:coauthVersionLast="47" xr6:coauthVersionMax="47" xr10:uidLastSave="{00000000-0000-0000-0000-000000000000}"/>
  <bookViews>
    <workbookView xWindow="30930" yWindow="3180" windowWidth="21600" windowHeight="11295" xr2:uid="{439F2F0B-EBB6-48D7-BDE1-24F1D6BB5D52}"/>
  </bookViews>
  <sheets>
    <sheet name="Batt" sheetId="3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/>
  <c r="G19" i="3"/>
  <c r="G18" i="3"/>
  <c r="G17" i="3"/>
  <c r="G16" i="3"/>
  <c r="G15" i="3"/>
  <c r="G6" i="3"/>
  <c r="G5" i="3"/>
  <c r="G4" i="3"/>
  <c r="F5" i="3"/>
  <c r="F6" i="3"/>
  <c r="F4" i="3"/>
</calcChain>
</file>

<file path=xl/sharedStrings.xml><?xml version="1.0" encoding="utf-8"?>
<sst xmlns="http://schemas.openxmlformats.org/spreadsheetml/2006/main" count="127" uniqueCount="50">
  <si>
    <t>Marque</t>
  </si>
  <si>
    <t>Prix</t>
  </si>
  <si>
    <t>BYD</t>
  </si>
  <si>
    <t>Référence</t>
  </si>
  <si>
    <t>N° pièce fabricant</t>
  </si>
  <si>
    <t>Type</t>
  </si>
  <si>
    <t>Haute tension DC</t>
  </si>
  <si>
    <t>Type de cellules</t>
  </si>
  <si>
    <t>LFP (Lithium)</t>
  </si>
  <si>
    <t>Energie nom totale (kWh)</t>
  </si>
  <si>
    <t>Energie util</t>
  </si>
  <si>
    <t>Capacité nom</t>
  </si>
  <si>
    <t>N/A</t>
  </si>
  <si>
    <t>Efficacité</t>
  </si>
  <si>
    <t>Poids</t>
  </si>
  <si>
    <t>Garantie du produit</t>
  </si>
  <si>
    <t>15 ans</t>
  </si>
  <si>
    <t>Garantion de perfo</t>
  </si>
  <si>
    <t>Garantie de perfom (%)</t>
  </si>
  <si>
    <t>Dispo</t>
  </si>
  <si>
    <t>17161354-00</t>
  </si>
  <si>
    <t>BYD Battery Box HVE 4.2 Module (17161354-00)</t>
  </si>
  <si>
    <t>17161353-00</t>
  </si>
  <si>
    <t>BYD Battery Box HVE 6.4 Module (17161353-00)</t>
  </si>
  <si>
    <t>12911241-00</t>
  </si>
  <si>
    <t>BYD Premium HVS 2.56 (12911241-00)</t>
  </si>
  <si>
    <t>SMA</t>
  </si>
  <si>
    <t>HS-BM-3.28-10</t>
  </si>
  <si>
    <t>P charge / décharge</t>
  </si>
  <si>
    <t>Fronius</t>
  </si>
  <si>
    <t>Reserva Pro module de batterie 3,98 kWh</t>
  </si>
  <si>
    <t>Reserva Pro 12.0</t>
  </si>
  <si>
    <t>Reserva Pro 16.0</t>
  </si>
  <si>
    <t>Reserva Pro 20.0</t>
  </si>
  <si>
    <t>Huawei</t>
  </si>
  <si>
    <t>LUNA2000-7-E1</t>
  </si>
  <si>
    <t>LUNA2000-5-E1</t>
  </si>
  <si>
    <t>LUNA2000-10-S1</t>
  </si>
  <si>
    <t>LUNA2000-12-S1</t>
  </si>
  <si>
    <t>LUNA2000-14-S1</t>
  </si>
  <si>
    <t>LUNA2000-15-S1</t>
  </si>
  <si>
    <t>LUNA2000-17-S1</t>
  </si>
  <si>
    <t>LUNA2000-21-S1</t>
  </si>
  <si>
    <t>SMA Home 3.2</t>
  </si>
  <si>
    <t>SMA Home 6.5</t>
  </si>
  <si>
    <t>SMA Home 9.8</t>
  </si>
  <si>
    <t>SMA Home 13.1</t>
  </si>
  <si>
    <t>SMA Home 16.4</t>
  </si>
  <si>
    <t>LG</t>
  </si>
  <si>
    <t>Chem RESU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</si>
</sst>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FAAE99-37F8-43E5-8DC6-4960C0E60F31}" name="Tableau13" displayName="Tableau13" ref="A1:G28" totalsRowShown="0">
  <autoFilter ref="A1:G28" xr:uid="{EE3ACE20-211D-4EE0-86F4-04F562BCD3BD}"/>
  <sortState xmlns:xlrd2="http://schemas.microsoft.com/office/spreadsheetml/2017/richdata2" ref="A2:G25">
    <sortCondition ref="A1:A28"/>
  </sortState>
  <tableColumns count="7">
    <tableColumn id="2" xr3:uid="{C4C0F608-FE03-493E-A86D-689702E81FBD}" name="Marque"/>
    <tableColumn id="13" xr3:uid="{09B7C27F-7FA5-43FC-89CE-74D3FFD77488}" name="Référence"/>
    <tableColumn id="16" xr3:uid="{2FDE3BDF-E47B-4AFE-96AF-4CAD946DC5D9}" name="Type"/>
    <tableColumn id="15" xr3:uid="{445E6F1E-0388-4585-84CF-A15ED7837ABF}" name="Type de cellules"/>
    <tableColumn id="14" xr3:uid="{E91ECB42-E558-46DE-BCEB-7E0119220A6E}" name="Energie nom totale (kWh)"/>
    <tableColumn id="3" xr3:uid="{B731C204-3F0B-4D29-A459-22C74B3F60C4}" name="Energie util"/>
    <tableColumn id="1" xr3:uid="{E832FB0C-C0CA-45EB-8A35-2D325BD490D9}" name="P charge / décharge" dataDxfId="2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3ACE20-211D-4EE0-86F4-04F562BCD3BD}" name="Tableau1" displayName="Tableau1" ref="A1:P102" totalsRowShown="0">
  <autoFilter ref="A1:P102" xr:uid="{EE3ACE20-211D-4EE0-86F4-04F562BCD3BD}"/>
  <tableColumns count="16">
    <tableColumn id="2" xr3:uid="{A74DCB04-C5A9-46A5-9209-6B9756DA51F1}" name="Marque"/>
    <tableColumn id="13" xr3:uid="{9B04F7B5-4B2F-447E-8FE0-9E9EFA0C52A6}" name="Référence"/>
    <tableColumn id="12" xr3:uid="{7C8A40CB-1733-4D59-9703-137A22316D40}" name="N° pièce fabricant"/>
    <tableColumn id="16" xr3:uid="{0784FC7B-94F2-43F8-982A-D5C6BAC4D5DB}" name="Type"/>
    <tableColumn id="15" xr3:uid="{50C518EF-8222-44B0-9F58-E16B2A15DC30}" name="Type de cellules"/>
    <tableColumn id="14" xr3:uid="{CF05CCF5-41D1-428F-BE20-A568D6C65374}" name="Energie nom totale (kWh)"/>
    <tableColumn id="3" xr3:uid="{A802719A-9F2C-41AA-83E2-D33F06AE05D1}" name="Energie util"/>
    <tableColumn id="4" xr3:uid="{5472E805-6EA2-4058-B4C7-F562E98BB021}" name="Capacité nom"/>
    <tableColumn id="5" xr3:uid="{568EE9ED-2506-45A7-995E-AC6C32906516}" name="Efficacité"/>
    <tableColumn id="6" xr3:uid="{B3E870A6-ABA8-4E26-A0AC-163A4B579018}" name="Poids"/>
    <tableColumn id="7" xr3:uid="{41ACFA45-E5BA-4235-B119-983B898A616A}" name="Garantie du produit"/>
    <tableColumn id="8" xr3:uid="{0C2D15CA-56D5-42ED-9B5D-C332B32149BD}" name="Garantion de perfo"/>
    <tableColumn id="9" xr3:uid="{548A1920-779A-4670-89FF-79907FC15DDF}" name="Garantie de perfom (%)" dataDxfId="1"/>
    <tableColumn id="1" xr3:uid="{B8D65DBA-4863-44BB-AFB3-FE16ACE5799F}" name="P charge / décharge" dataDxfId="0"/>
    <tableColumn id="10" xr3:uid="{B6E794B2-6230-4C69-AEB8-5B5F502CC0B6}" name="Dispo"/>
    <tableColumn id="11" xr3:uid="{88C36CD9-72A4-4FB5-8B24-3D264D510E34}" name="Prix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2B00-7C12-4340-981B-DAC64C55AA63}">
  <dimension ref="A1:G20"/>
  <sheetViews>
    <sheetView tabSelected="1" zoomScale="91" zoomScaleNormal="91" workbookViewId="0">
      <selection activeCell="G10" sqref="G10"/>
    </sheetView>
  </sheetViews>
  <sheetFormatPr baseColWidth="10" defaultRowHeight="15" x14ac:dyDescent="0.25"/>
  <cols>
    <col min="2" max="2" width="54.7109375" bestFit="1" customWidth="1"/>
    <col min="3" max="3" width="16.140625" bestFit="1" customWidth="1"/>
    <col min="4" max="4" width="17.85546875" bestFit="1" customWidth="1"/>
    <col min="5" max="5" width="26.42578125" bestFit="1" customWidth="1"/>
    <col min="6" max="6" width="13.5703125" bestFit="1" customWidth="1"/>
    <col min="7" max="7" width="24.42578125" customWidth="1"/>
  </cols>
  <sheetData>
    <row r="1" spans="1:7" x14ac:dyDescent="0.25">
      <c r="A1" t="s">
        <v>0</v>
      </c>
      <c r="B1" t="s">
        <v>3</v>
      </c>
      <c r="C1" t="s">
        <v>5</v>
      </c>
      <c r="D1" t="s">
        <v>7</v>
      </c>
      <c r="E1" t="s">
        <v>9</v>
      </c>
      <c r="F1" t="s">
        <v>10</v>
      </c>
      <c r="G1" t="s">
        <v>28</v>
      </c>
    </row>
    <row r="2" spans="1:7" x14ac:dyDescent="0.25">
      <c r="A2" t="s">
        <v>2</v>
      </c>
      <c r="B2" t="s">
        <v>23</v>
      </c>
      <c r="C2" t="s">
        <v>6</v>
      </c>
      <c r="D2" t="s">
        <v>8</v>
      </c>
      <c r="E2">
        <v>6.43</v>
      </c>
      <c r="F2">
        <v>6.43</v>
      </c>
      <c r="G2">
        <f>35*115.2/1000</f>
        <v>4.032</v>
      </c>
    </row>
    <row r="3" spans="1:7" x14ac:dyDescent="0.25">
      <c r="A3" t="s">
        <v>29</v>
      </c>
      <c r="B3" t="s">
        <v>30</v>
      </c>
      <c r="C3" t="s">
        <v>6</v>
      </c>
      <c r="D3" t="s">
        <v>8</v>
      </c>
      <c r="E3">
        <v>3.98</v>
      </c>
      <c r="F3">
        <v>3.98</v>
      </c>
    </row>
    <row r="4" spans="1:7" x14ac:dyDescent="0.25">
      <c r="A4" t="s">
        <v>29</v>
      </c>
      <c r="B4" t="s">
        <v>31</v>
      </c>
      <c r="C4" t="s">
        <v>6</v>
      </c>
      <c r="D4" t="s">
        <v>8</v>
      </c>
      <c r="E4">
        <v>11.9</v>
      </c>
      <c r="F4">
        <f>Tableau13[[#This Row],[Energie nom totale (kWh)]]</f>
        <v>11.9</v>
      </c>
      <c r="G4">
        <f>50*212.52/1000</f>
        <v>10.625999999999999</v>
      </c>
    </row>
    <row r="5" spans="1:7" x14ac:dyDescent="0.25">
      <c r="A5" t="s">
        <v>29</v>
      </c>
      <c r="B5" t="s">
        <v>32</v>
      </c>
      <c r="C5" t="s">
        <v>6</v>
      </c>
      <c r="D5" t="s">
        <v>8</v>
      </c>
      <c r="E5">
        <v>15.9</v>
      </c>
      <c r="F5">
        <f>Tableau13[[#This Row],[Energie nom totale (kWh)]]</f>
        <v>15.9</v>
      </c>
      <c r="G5">
        <f>50*283.36/1000</f>
        <v>14.167999999999999</v>
      </c>
    </row>
    <row r="6" spans="1:7" x14ac:dyDescent="0.25">
      <c r="A6" t="s">
        <v>29</v>
      </c>
      <c r="B6" t="s">
        <v>33</v>
      </c>
      <c r="C6" t="s">
        <v>6</v>
      </c>
      <c r="D6" t="s">
        <v>8</v>
      </c>
      <c r="E6">
        <v>19.899999999999999</v>
      </c>
      <c r="F6">
        <f>Tableau13[[#This Row],[Energie nom totale (kWh)]]</f>
        <v>19.899999999999999</v>
      </c>
      <c r="G6">
        <f>50*354.2/1000</f>
        <v>17.71</v>
      </c>
    </row>
    <row r="7" spans="1:7" x14ac:dyDescent="0.25">
      <c r="A7" t="s">
        <v>34</v>
      </c>
      <c r="B7" t="s">
        <v>36</v>
      </c>
      <c r="C7" t="s">
        <v>6</v>
      </c>
      <c r="D7" t="s">
        <v>8</v>
      </c>
      <c r="E7">
        <v>5</v>
      </c>
      <c r="F7">
        <v>5</v>
      </c>
      <c r="G7">
        <v>3.5</v>
      </c>
    </row>
    <row r="8" spans="1:7" x14ac:dyDescent="0.25">
      <c r="A8" t="s">
        <v>34</v>
      </c>
      <c r="B8" t="s">
        <v>35</v>
      </c>
      <c r="C8" t="s">
        <v>6</v>
      </c>
      <c r="D8" t="s">
        <v>8</v>
      </c>
      <c r="E8">
        <v>6.9</v>
      </c>
      <c r="F8">
        <v>6.9</v>
      </c>
      <c r="G8">
        <v>3.5</v>
      </c>
    </row>
    <row r="9" spans="1:7" x14ac:dyDescent="0.25">
      <c r="A9" t="s">
        <v>34</v>
      </c>
      <c r="B9" t="s">
        <v>37</v>
      </c>
      <c r="C9" t="s">
        <v>6</v>
      </c>
      <c r="D9" t="s">
        <v>8</v>
      </c>
      <c r="E9">
        <v>11.9</v>
      </c>
      <c r="F9">
        <v>11.9</v>
      </c>
      <c r="G9">
        <v>7</v>
      </c>
    </row>
    <row r="10" spans="1:7" x14ac:dyDescent="0.25">
      <c r="A10" t="s">
        <v>34</v>
      </c>
      <c r="B10" t="s">
        <v>38</v>
      </c>
      <c r="C10" t="s">
        <v>6</v>
      </c>
      <c r="D10" t="s">
        <v>8</v>
      </c>
      <c r="E10">
        <v>13.8</v>
      </c>
      <c r="F10">
        <v>13.8</v>
      </c>
      <c r="G10">
        <v>7</v>
      </c>
    </row>
    <row r="11" spans="1:7" x14ac:dyDescent="0.25">
      <c r="A11" t="s">
        <v>34</v>
      </c>
      <c r="B11" t="s">
        <v>39</v>
      </c>
      <c r="C11" t="s">
        <v>6</v>
      </c>
      <c r="D11" t="s">
        <v>8</v>
      </c>
      <c r="E11">
        <v>15</v>
      </c>
      <c r="F11">
        <v>15</v>
      </c>
      <c r="G11">
        <v>10.5</v>
      </c>
    </row>
    <row r="12" spans="1:7" x14ac:dyDescent="0.25">
      <c r="A12" t="s">
        <v>34</v>
      </c>
      <c r="B12" t="s">
        <v>40</v>
      </c>
      <c r="C12" t="s">
        <v>6</v>
      </c>
      <c r="D12" t="s">
        <v>8</v>
      </c>
      <c r="E12">
        <v>16.899999999999999</v>
      </c>
      <c r="F12">
        <v>16.899999999999999</v>
      </c>
      <c r="G12">
        <v>10.5</v>
      </c>
    </row>
    <row r="13" spans="1:7" x14ac:dyDescent="0.25">
      <c r="A13" t="s">
        <v>34</v>
      </c>
      <c r="B13" t="s">
        <v>41</v>
      </c>
      <c r="C13" t="s">
        <v>6</v>
      </c>
      <c r="D13" t="s">
        <v>8</v>
      </c>
      <c r="E13">
        <v>18.8</v>
      </c>
      <c r="F13">
        <v>18.8</v>
      </c>
      <c r="G13">
        <v>10.5</v>
      </c>
    </row>
    <row r="14" spans="1:7" x14ac:dyDescent="0.25">
      <c r="A14" t="s">
        <v>34</v>
      </c>
      <c r="B14" t="s">
        <v>42</v>
      </c>
      <c r="C14" t="s">
        <v>6</v>
      </c>
      <c r="D14" t="s">
        <v>8</v>
      </c>
      <c r="E14">
        <v>20.7</v>
      </c>
      <c r="F14">
        <v>20.7</v>
      </c>
      <c r="G14">
        <v>10.5</v>
      </c>
    </row>
    <row r="15" spans="1:7" x14ac:dyDescent="0.25">
      <c r="A15" t="s">
        <v>26</v>
      </c>
      <c r="B15" t="s">
        <v>43</v>
      </c>
      <c r="C15" t="s">
        <v>6</v>
      </c>
      <c r="D15" t="s">
        <v>8</v>
      </c>
      <c r="E15">
        <v>3.28</v>
      </c>
      <c r="F15">
        <v>3.28</v>
      </c>
      <c r="G15">
        <f>96*36/1000</f>
        <v>3.456</v>
      </c>
    </row>
    <row r="16" spans="1:7" x14ac:dyDescent="0.25">
      <c r="A16" t="s">
        <v>26</v>
      </c>
      <c r="B16" t="s">
        <v>44</v>
      </c>
      <c r="C16" t="s">
        <v>6</v>
      </c>
      <c r="D16" t="s">
        <v>8</v>
      </c>
      <c r="E16">
        <v>6.56</v>
      </c>
      <c r="F16">
        <v>6.56</v>
      </c>
      <c r="G16">
        <f>192*36/1000</f>
        <v>6.9119999999999999</v>
      </c>
    </row>
    <row r="17" spans="1:7" x14ac:dyDescent="0.25">
      <c r="A17" t="s">
        <v>26</v>
      </c>
      <c r="B17" t="s">
        <v>45</v>
      </c>
      <c r="C17" t="s">
        <v>6</v>
      </c>
      <c r="D17" t="s">
        <v>8</v>
      </c>
      <c r="E17">
        <v>9.84</v>
      </c>
      <c r="F17">
        <v>9.84</v>
      </c>
      <c r="G17">
        <f>288*36/1000</f>
        <v>10.368</v>
      </c>
    </row>
    <row r="18" spans="1:7" x14ac:dyDescent="0.25">
      <c r="A18" t="s">
        <v>26</v>
      </c>
      <c r="B18" t="s">
        <v>46</v>
      </c>
      <c r="C18" t="s">
        <v>6</v>
      </c>
      <c r="D18" t="s">
        <v>8</v>
      </c>
      <c r="E18">
        <v>13.12</v>
      </c>
      <c r="F18">
        <v>13.12</v>
      </c>
      <c r="G18">
        <f>384*36/1000</f>
        <v>13.824</v>
      </c>
    </row>
    <row r="19" spans="1:7" x14ac:dyDescent="0.25">
      <c r="A19" t="s">
        <v>26</v>
      </c>
      <c r="B19" t="s">
        <v>47</v>
      </c>
      <c r="C19" t="s">
        <v>6</v>
      </c>
      <c r="D19" t="s">
        <v>8</v>
      </c>
      <c r="E19">
        <v>16.399999999999999</v>
      </c>
      <c r="F19">
        <v>16.399999999999999</v>
      </c>
      <c r="G19">
        <f>480*36/1000</f>
        <v>17.28</v>
      </c>
    </row>
    <row r="20" spans="1:7" x14ac:dyDescent="0.25">
      <c r="A20" t="s">
        <v>48</v>
      </c>
      <c r="B20" t="s">
        <v>49</v>
      </c>
      <c r="C20" t="s">
        <v>6</v>
      </c>
      <c r="D20" t="s">
        <v>8</v>
      </c>
      <c r="E20">
        <v>9.8000000000000007</v>
      </c>
      <c r="F20">
        <v>8.8000000000000007</v>
      </c>
      <c r="G20">
        <v>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3304-DA36-47CB-849F-4B331DDA184B}">
  <dimension ref="A1:P5"/>
  <sheetViews>
    <sheetView zoomScaleNormal="100" workbookViewId="0">
      <selection activeCell="B10" sqref="B10"/>
    </sheetView>
  </sheetViews>
  <sheetFormatPr baseColWidth="10" defaultRowHeight="15" x14ac:dyDescent="0.25"/>
  <cols>
    <col min="2" max="2" width="41.5703125" bestFit="1" customWidth="1"/>
    <col min="3" max="3" width="19.5703125" bestFit="1" customWidth="1"/>
    <col min="4" max="4" width="16.140625" bestFit="1" customWidth="1"/>
    <col min="5" max="5" width="17.85546875" bestFit="1" customWidth="1"/>
    <col min="6" max="6" width="26.42578125" bestFit="1" customWidth="1"/>
    <col min="7" max="7" width="13.5703125" bestFit="1" customWidth="1"/>
    <col min="9" max="9" width="11.85546875" bestFit="1" customWidth="1"/>
    <col min="10" max="10" width="9.5703125" customWidth="1"/>
    <col min="11" max="11" width="20.85546875" bestFit="1" customWidth="1"/>
    <col min="12" max="12" width="20.28515625" bestFit="1" customWidth="1"/>
    <col min="13" max="13" width="24.42578125" bestFit="1" customWidth="1"/>
    <col min="14" max="14" width="24.42578125" customWidth="1"/>
    <col min="15" max="15" width="8.5703125" bestFit="1" customWidth="1"/>
  </cols>
  <sheetData>
    <row r="1" spans="1:16" x14ac:dyDescent="0.25">
      <c r="A1" t="s">
        <v>0</v>
      </c>
      <c r="B1" t="s">
        <v>3</v>
      </c>
      <c r="C1" t="s">
        <v>4</v>
      </c>
      <c r="D1" t="s">
        <v>5</v>
      </c>
      <c r="E1" t="s">
        <v>7</v>
      </c>
      <c r="F1" t="s">
        <v>9</v>
      </c>
      <c r="G1" t="s">
        <v>10</v>
      </c>
      <c r="H1" t="s">
        <v>11</v>
      </c>
      <c r="I1" t="s">
        <v>13</v>
      </c>
      <c r="J1" t="s">
        <v>14</v>
      </c>
      <c r="K1" t="s">
        <v>15</v>
      </c>
      <c r="L1" t="s">
        <v>17</v>
      </c>
      <c r="M1" t="s">
        <v>18</v>
      </c>
      <c r="N1" t="s">
        <v>28</v>
      </c>
      <c r="O1" t="s">
        <v>19</v>
      </c>
      <c r="P1" t="s">
        <v>1</v>
      </c>
    </row>
    <row r="2" spans="1:16" x14ac:dyDescent="0.25">
      <c r="A2" t="s">
        <v>2</v>
      </c>
      <c r="B2" t="s">
        <v>21</v>
      </c>
      <c r="C2" t="s">
        <v>20</v>
      </c>
      <c r="D2" t="s">
        <v>6</v>
      </c>
      <c r="E2" t="s">
        <v>8</v>
      </c>
      <c r="F2">
        <v>4.29</v>
      </c>
      <c r="G2">
        <v>4.29</v>
      </c>
      <c r="H2" t="s">
        <v>12</v>
      </c>
      <c r="I2" s="1">
        <v>0.95</v>
      </c>
      <c r="J2">
        <v>42.6</v>
      </c>
      <c r="K2" t="s">
        <v>16</v>
      </c>
      <c r="L2" t="s">
        <v>16</v>
      </c>
      <c r="M2">
        <v>60</v>
      </c>
    </row>
    <row r="3" spans="1:16" x14ac:dyDescent="0.25">
      <c r="A3" t="s">
        <v>2</v>
      </c>
      <c r="B3" t="s">
        <v>23</v>
      </c>
      <c r="C3" t="s">
        <v>22</v>
      </c>
      <c r="D3" t="s">
        <v>6</v>
      </c>
      <c r="E3" t="s">
        <v>8</v>
      </c>
      <c r="F3">
        <v>6.43</v>
      </c>
      <c r="G3">
        <v>6.43</v>
      </c>
      <c r="H3" t="s">
        <v>12</v>
      </c>
      <c r="I3" s="1">
        <v>0.95</v>
      </c>
      <c r="J3">
        <v>61.1</v>
      </c>
      <c r="K3" t="s">
        <v>16</v>
      </c>
      <c r="L3" t="s">
        <v>16</v>
      </c>
      <c r="M3">
        <v>60</v>
      </c>
    </row>
    <row r="4" spans="1:16" x14ac:dyDescent="0.25">
      <c r="A4" t="s">
        <v>2</v>
      </c>
      <c r="B4" t="s">
        <v>25</v>
      </c>
      <c r="C4" s="2" t="s">
        <v>24</v>
      </c>
      <c r="D4" t="s">
        <v>6</v>
      </c>
      <c r="E4" t="s">
        <v>8</v>
      </c>
      <c r="F4">
        <v>2.56</v>
      </c>
      <c r="G4">
        <v>2.56</v>
      </c>
      <c r="H4">
        <v>25</v>
      </c>
      <c r="I4">
        <v>96</v>
      </c>
      <c r="J4">
        <v>38.700000000000003</v>
      </c>
      <c r="K4">
        <v>10</v>
      </c>
      <c r="L4">
        <v>10</v>
      </c>
      <c r="M4">
        <v>60</v>
      </c>
    </row>
    <row r="5" spans="1:16" x14ac:dyDescent="0.25">
      <c r="A5" t="s">
        <v>26</v>
      </c>
      <c r="B5" t="s">
        <v>27</v>
      </c>
      <c r="C5" t="s">
        <v>27</v>
      </c>
      <c r="D5" t="s">
        <v>6</v>
      </c>
      <c r="E5" t="s">
        <v>8</v>
      </c>
      <c r="F5">
        <v>3.28</v>
      </c>
      <c r="G5">
        <v>3.28</v>
      </c>
      <c r="H5" t="s">
        <v>12</v>
      </c>
      <c r="I5">
        <v>94.5</v>
      </c>
      <c r="J5">
        <v>38</v>
      </c>
      <c r="K5">
        <v>2</v>
      </c>
      <c r="L5" t="s">
        <v>12</v>
      </c>
      <c r="M5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Batt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 WES</dc:creator>
  <cp:lastModifiedBy>Collignon Antoine</cp:lastModifiedBy>
  <dcterms:created xsi:type="dcterms:W3CDTF">2026-02-23T14:06:08Z</dcterms:created>
  <dcterms:modified xsi:type="dcterms:W3CDTF">2026-04-02T07:42:58Z</dcterms:modified>
</cp:coreProperties>
</file>